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intern database" sheetId="1" r:id="rId5"/>
  </sheets>
  <definedNames/>
  <calcPr/>
</workbook>
</file>

<file path=xl/sharedStrings.xml><?xml version="1.0" encoding="utf-8"?>
<sst xmlns="http://schemas.openxmlformats.org/spreadsheetml/2006/main" count="294" uniqueCount="214">
  <si>
    <t>Date</t>
  </si>
  <si>
    <t>Intern Code</t>
  </si>
  <si>
    <t>Full Name</t>
  </si>
  <si>
    <t>Email ID</t>
  </si>
  <si>
    <t>Mobile No.</t>
  </si>
  <si>
    <t>Domain</t>
  </si>
  <si>
    <t>Start Date</t>
  </si>
  <si>
    <t>End Date</t>
  </si>
  <si>
    <t>USINT2026060584348</t>
  </si>
  <si>
    <t>Dasari Sandhya</t>
  </si>
  <si>
    <r>
      <rPr>
        <rFont val="Arial, sans-serif"/>
        <color rgb="FF1155CC"/>
        <u/>
      </rPr>
      <t>dasarisandhhya0105@gmail.com</t>
    </r>
  </si>
  <si>
    <t>Artificial Intelligence &amp; Machine Learning</t>
  </si>
  <si>
    <t>25/05/2026</t>
  </si>
  <si>
    <t>USINT2026250500224</t>
  </si>
  <si>
    <t>Srushti Dnyaneshwar Suryawanshi</t>
  </si>
  <si>
    <r>
      <rPr>
        <rFont val="Arial, sans-serif"/>
        <color rgb="FF1155CC"/>
        <u/>
      </rPr>
      <t>srushtisd14@gmail.com</t>
    </r>
  </si>
  <si>
    <t>15/05/2026</t>
  </si>
  <si>
    <t>15/08/2026</t>
  </si>
  <si>
    <t>13/05/2026</t>
  </si>
  <si>
    <t>USINT2026130540425</t>
  </si>
  <si>
    <t>Vimal Reddy</t>
  </si>
  <si>
    <r>
      <rPr>
        <rFont val="Arial, sans-serif"/>
        <color rgb="FF1155CC"/>
        <u/>
      </rPr>
      <t>reddyvimal087@gmail.com</t>
    </r>
  </si>
  <si>
    <t>13/08/2026</t>
  </si>
  <si>
    <t>18/05/2026</t>
  </si>
  <si>
    <t>USINT2026180538311</t>
  </si>
  <si>
    <t>Shreyas S</t>
  </si>
  <si>
    <r>
      <rPr>
        <rFont val="Arial, sans-serif"/>
        <color rgb="FF1155CC"/>
        <u/>
      </rPr>
      <t>sonushreyas121@gmail.com</t>
    </r>
  </si>
  <si>
    <t>AI Research</t>
  </si>
  <si>
    <t>16/05/2026</t>
  </si>
  <si>
    <t>16/08/2026</t>
  </si>
  <si>
    <t>USINT2026130570939</t>
  </si>
  <si>
    <t>Kiran</t>
  </si>
  <si>
    <r>
      <rPr>
        <rFont val="Arial, sans-serif"/>
        <color rgb="FF1155CC"/>
        <u/>
      </rPr>
      <t>kiransinha2746@gmail.com</t>
    </r>
  </si>
  <si>
    <t>13/04/2026</t>
  </si>
  <si>
    <t>13/07/2026</t>
  </si>
  <si>
    <t>USINT2026130535691</t>
  </si>
  <si>
    <t>Rohith Reddy Vaidgula</t>
  </si>
  <si>
    <r>
      <rPr>
        <rFont val="Arial, sans-serif"/>
        <color rgb="FF1155CC"/>
        <u/>
      </rPr>
      <t>vaidgularohithreddy@gmail.com</t>
    </r>
  </si>
  <si>
    <t>USINT2026080580022</t>
  </si>
  <si>
    <t>Riddhi Dalmia</t>
  </si>
  <si>
    <r>
      <rPr>
        <rFont val="Arial, sans-serif"/>
        <color rgb="FF1155CC"/>
        <u/>
      </rPr>
      <t>riddhidalmia85@gmail.com</t>
    </r>
  </si>
  <si>
    <t>16/04/2026</t>
  </si>
  <si>
    <t>16/07/2026</t>
  </si>
  <si>
    <t>28/04/2026</t>
  </si>
  <si>
    <t>USINT2026280487092</t>
  </si>
  <si>
    <t>Badhri Prasath D R</t>
  </si>
  <si>
    <r>
      <rPr>
        <rFont val="Arial, sans-serif"/>
        <color rgb="FF1155CC"/>
        <u/>
      </rPr>
      <t>badhriprasathdr@gmail.com</t>
    </r>
  </si>
  <si>
    <t>MERN Stack</t>
  </si>
  <si>
    <t>28/07/2026</t>
  </si>
  <si>
    <t>USINT2026130536135</t>
  </si>
  <si>
    <t>Shivani Gujja</t>
  </si>
  <si>
    <r>
      <rPr>
        <rFont val="Arial, sans-serif"/>
        <color rgb="FF1155CC"/>
        <u/>
      </rPr>
      <t>shivanigujja05@gmail.com</t>
    </r>
  </si>
  <si>
    <t>USINT2026080539061</t>
  </si>
  <si>
    <t>Asba Qureshi</t>
  </si>
  <si>
    <r>
      <rPr>
        <rFont val="Arial, sans-serif"/>
        <color rgb="FF1155CC"/>
        <u/>
      </rPr>
      <t>asbaqureshi23@gmail.com</t>
    </r>
  </si>
  <si>
    <t>30/04/2026</t>
  </si>
  <si>
    <t>30/07/2026</t>
  </si>
  <si>
    <t>USINT2026120598463</t>
  </si>
  <si>
    <t>Katole Gayatri Ramesh</t>
  </si>
  <si>
    <r>
      <rPr>
        <rFont val="Arial, sans-serif"/>
        <color rgb="FF1155CC"/>
        <u/>
      </rPr>
      <t>gayatrikatole06@gmail.com</t>
    </r>
  </si>
  <si>
    <t>21/05/2026</t>
  </si>
  <si>
    <t>USINT2026210521332</t>
  </si>
  <si>
    <t>Aitla Manichandar</t>
  </si>
  <si>
    <r>
      <rPr>
        <rFont val="Arial, sans-serif"/>
        <color rgb="FF1155CC"/>
        <u/>
      </rPr>
      <t>aitlamanichandar4115@gmail.com</t>
    </r>
  </si>
  <si>
    <t>21/08/2026</t>
  </si>
  <si>
    <t>USINT2026010724188</t>
  </si>
  <si>
    <t>Pratheesh J.k</t>
  </si>
  <si>
    <r>
      <rPr>
        <rFont val="Arial, sans-serif"/>
        <color rgb="FF1155CC"/>
        <u/>
      </rPr>
      <t>pratheeshvk18@gmail.com</t>
    </r>
  </si>
  <si>
    <t>Web Development</t>
  </si>
  <si>
    <t>29/06/2026</t>
  </si>
  <si>
    <t>29/09/2026</t>
  </si>
  <si>
    <t>USINT2026010745853</t>
  </si>
  <si>
    <t>Pooja Rattan</t>
  </si>
  <si>
    <r>
      <rPr>
        <rFont val="Arial, sans-serif"/>
        <color rgb="FF1155CC"/>
        <u/>
      </rPr>
      <t>poojarattan470@gmail.com</t>
    </r>
  </si>
  <si>
    <t>24/06/2026</t>
  </si>
  <si>
    <t>24/09/2026</t>
  </si>
  <si>
    <t>USINT2026030738862</t>
  </si>
  <si>
    <t>Zoya Khatoon</t>
  </si>
  <si>
    <r>
      <rPr>
        <rFont val="Arial, sans-serif"/>
        <color rgb="FF1155CC"/>
        <u/>
      </rPr>
      <t>z65009027@gmail.com</t>
    </r>
  </si>
  <si>
    <t>USINT2026030799297</t>
  </si>
  <si>
    <t>Shashwat Sahu</t>
  </si>
  <si>
    <r>
      <rPr>
        <rFont val="Arial, sans-serif"/>
        <color rgb="FF1155CC"/>
        <u/>
      </rPr>
      <t>sahushashwat27@gmail.com</t>
    </r>
  </si>
  <si>
    <t>USINT2026030767819</t>
  </si>
  <si>
    <t>Palak Raj Singh</t>
  </si>
  <si>
    <r>
      <rPr>
        <rFont val="Arial, sans-serif"/>
        <color rgb="FF1155CC"/>
        <u/>
      </rPr>
      <t>palakrajsingh92@gmail.com</t>
    </r>
  </si>
  <si>
    <t>USINT2026030739877</t>
  </si>
  <si>
    <t>Rohan Haridas Naik</t>
  </si>
  <si>
    <r>
      <rPr>
        <rFont val="Arial, sans-serif"/>
        <color rgb="FF1155CC"/>
        <u/>
      </rPr>
      <t>rohannaik29563@gmail.com</t>
    </r>
  </si>
  <si>
    <t>USINT2026030765425</t>
  </si>
  <si>
    <t>Keerthana Y</t>
  </si>
  <si>
    <r>
      <rPr>
        <rFont val="Arial, sans-serif"/>
        <color rgb="FF1155CC"/>
        <u/>
      </rPr>
      <t>keerthanay10@gmail.com</t>
    </r>
  </si>
  <si>
    <t>USINT2026030700878</t>
  </si>
  <si>
    <t>Anupam Sharma</t>
  </si>
  <si>
    <r>
      <rPr>
        <rFont val="Arial, sans-serif"/>
        <color rgb="FF1155CC"/>
        <u/>
      </rPr>
      <t>anupamsharma9786@gmail.com</t>
    </r>
  </si>
  <si>
    <t>USINT2026030779943</t>
  </si>
  <si>
    <t>Bodasu Nikshitha Devi</t>
  </si>
  <si>
    <r>
      <rPr>
        <rFont val="Arial, sans-serif"/>
        <color rgb="FF1155CC"/>
        <u/>
      </rPr>
      <t>nikshithabodas@gmail.com</t>
    </r>
  </si>
  <si>
    <t>USINT2026030733830</t>
  </si>
  <si>
    <t>Vipul Sharma</t>
  </si>
  <si>
    <r>
      <rPr>
        <rFont val="Arial, sans-serif"/>
        <color rgb="FF1155CC"/>
        <u/>
      </rPr>
      <t>vipul7014442317@gmail.com</t>
    </r>
  </si>
  <si>
    <t>USINT2026030789467</t>
  </si>
  <si>
    <t>Tushar Mukeshbhai Makvana</t>
  </si>
  <si>
    <r>
      <rPr>
        <rFont val="Arial, sans-serif"/>
        <color rgb="FF1155CC"/>
        <u/>
      </rPr>
      <t>makwanatushar277@gmail.com</t>
    </r>
  </si>
  <si>
    <t>USINT2026030786271</t>
  </si>
  <si>
    <t>Drishti Khandelwal</t>
  </si>
  <si>
    <r>
      <rPr>
        <rFont val="Arial, sans-serif"/>
        <color rgb="FF1155CC"/>
        <u/>
      </rPr>
      <t>drishtikhandelwal10037@gmail.</t>
    </r>
    <r>
      <rPr>
        <rFont val="Arial, sans-serif"/>
      </rPr>
      <t>com</t>
    </r>
  </si>
  <si>
    <t>USINT2026030744770</t>
  </si>
  <si>
    <t>Anshika Aggarwal</t>
  </si>
  <si>
    <r>
      <rPr>
        <rFont val="Arial, sans-serif"/>
        <color rgb="FF1155CC"/>
        <u/>
      </rPr>
      <t>anshikaaggarwal272@gmail.com</t>
    </r>
  </si>
  <si>
    <t>18/06/2026</t>
  </si>
  <si>
    <t>18/09/2026</t>
  </si>
  <si>
    <t>USINT2026030740983</t>
  </si>
  <si>
    <t>Nikesh Sharma</t>
  </si>
  <si>
    <r>
      <rPr>
        <rFont val="Arial, sans-serif"/>
        <color rgb="FF1155CC"/>
        <u/>
      </rPr>
      <t>sharmanikesh040@gmail.com</t>
    </r>
  </si>
  <si>
    <t>USINT2026030768212</t>
  </si>
  <si>
    <t>Gundu Akshaya</t>
  </si>
  <si>
    <r>
      <rPr>
        <rFont val="Arial, sans-serif"/>
        <color rgb="FF1155CC"/>
        <u/>
      </rPr>
      <t>akshayagundu7@gmail.com</t>
    </r>
  </si>
  <si>
    <t>USINT2026030705528</t>
  </si>
  <si>
    <t>Vishal Meenia</t>
  </si>
  <si>
    <r>
      <rPr>
        <rFont val="Arial, sans-serif"/>
        <color rgb="FF1155CC"/>
        <u/>
      </rPr>
      <t>vishalkumarr3005@gmail.com</t>
    </r>
  </si>
  <si>
    <t>USINT2026010768017</t>
  </si>
  <si>
    <t>Meghana Gummadi</t>
  </si>
  <si>
    <r>
      <rPr>
        <rFont val="Arial, sans-serif"/>
        <color rgb="FF1155CC"/>
        <u/>
      </rPr>
      <t>meghanagummadi092@gmail.com</t>
    </r>
  </si>
  <si>
    <t>USINT2026040751969</t>
  </si>
  <si>
    <t>Yash Ramnarayan Dubey</t>
  </si>
  <si>
    <r>
      <rPr>
        <rFont val="Arial, sans-serif"/>
        <color rgb="FF1155CC"/>
        <u/>
      </rPr>
      <t>dubeyyash2025@gmail.com</t>
    </r>
  </si>
  <si>
    <t>USINT2026040764460</t>
  </si>
  <si>
    <t>Saptarshi Dutta</t>
  </si>
  <si>
    <r>
      <rPr>
        <rFont val="Arial, sans-serif"/>
        <color rgb="FF1155CC"/>
        <u/>
      </rPr>
      <t>dsaptarshi116@gmail.com</t>
    </r>
  </si>
  <si>
    <t>USINT2026040768988</t>
  </si>
  <si>
    <t>Jitendra Kumar</t>
  </si>
  <si>
    <r>
      <rPr>
        <rFont val="Arial, sans-serif"/>
        <color rgb="FF1155CC"/>
        <u/>
      </rPr>
      <t>jitendrakumarbly90@gmail.com</t>
    </r>
  </si>
  <si>
    <t>23/06/2026</t>
  </si>
  <si>
    <t>23/09/2026</t>
  </si>
  <si>
    <t>USINT2026040743643</t>
  </si>
  <si>
    <t>Shashwat Srivastava</t>
  </si>
  <si>
    <r>
      <rPr>
        <rFont val="Arial, sans-serif"/>
        <color rgb="FF1155CC"/>
        <u/>
      </rPr>
      <t>shashwatmr360@gmail.com</t>
    </r>
  </si>
  <si>
    <t>USINT2026060799689</t>
  </si>
  <si>
    <t>Ramandeep Singh Jodha</t>
  </si>
  <si>
    <r>
      <rPr>
        <rFont val="Arial, sans-serif"/>
        <color rgb="FF1155CC"/>
        <u/>
      </rPr>
      <t>ramandeepsinghjodha@gmail.com</t>
    </r>
  </si>
  <si>
    <t>USINT2026060767090</t>
  </si>
  <si>
    <t>Harish S</t>
  </si>
  <si>
    <r>
      <rPr>
        <rFont val="Arial, sans-serif"/>
        <color rgb="FF1155CC"/>
        <u/>
      </rPr>
      <t>harish03461@gmail.com</t>
    </r>
  </si>
  <si>
    <t>USINT2026060786455</t>
  </si>
  <si>
    <t>Chandana S</t>
  </si>
  <si>
    <r>
      <rPr>
        <rFont val="Arial, sans-serif"/>
        <color rgb="FF1155CC"/>
        <u/>
      </rPr>
      <t>chandanasrinivas16@gmail.com</t>
    </r>
  </si>
  <si>
    <t>USINT2026060709421</t>
  </si>
  <si>
    <t>Mallela Pavani</t>
  </si>
  <si>
    <r>
      <rPr>
        <rFont val="Arial, sans-serif"/>
        <color rgb="FF1155CC"/>
        <u/>
      </rPr>
      <t>mallelapavani1@gmail.com</t>
    </r>
  </si>
  <si>
    <t>USINT2026060714885</t>
  </si>
  <si>
    <t>Pinnu Gowthamreddy</t>
  </si>
  <si>
    <r>
      <rPr>
        <rFont val="Arial, sans-serif"/>
        <color rgb="FF1155CC"/>
        <u/>
      </rPr>
      <t>pinnugowthamreddy@gmail.com</t>
    </r>
  </si>
  <si>
    <t>USINT2026060740317</t>
  </si>
  <si>
    <t>Annam Sai Pradeep</t>
  </si>
  <si>
    <r>
      <rPr>
        <rFont val="Arial, sans-serif"/>
        <color rgb="FF1155CC"/>
        <u/>
      </rPr>
      <t>saipradheepreddy@gmail.com</t>
    </r>
  </si>
  <si>
    <t>Prompt Engineering</t>
  </si>
  <si>
    <t>USINT2026060777443</t>
  </si>
  <si>
    <t>Marupaka Akshaya</t>
  </si>
  <si>
    <r>
      <rPr>
        <rFont val="Arial, sans-serif"/>
        <color rgb="FF1155CC"/>
        <u/>
      </rPr>
      <t>akshayamarupaka8@gmail.com</t>
    </r>
  </si>
  <si>
    <t>USINT2026060784349</t>
  </si>
  <si>
    <t>Raghav Sharma</t>
  </si>
  <si>
    <r>
      <rPr>
        <rFont val="Arial, sans-serif"/>
        <color rgb="FF1155CC"/>
        <u/>
      </rPr>
      <t>r7259575@gmail.com</t>
    </r>
  </si>
  <si>
    <t>19/06/2026</t>
  </si>
  <si>
    <t>19/09/2026</t>
  </si>
  <si>
    <t>USINT2026070769227</t>
  </si>
  <si>
    <t>Reshma Aj</t>
  </si>
  <si>
    <r>
      <rPr>
        <rFont val="Arial, sans-serif"/>
        <color rgb="FF1155CC"/>
        <u/>
      </rPr>
      <t>reshmaanilkumar04@gmail.com</t>
    </r>
  </si>
  <si>
    <t>USINT2026070703264</t>
  </si>
  <si>
    <t>Krrish</t>
  </si>
  <si>
    <r>
      <rPr>
        <rFont val="Arial, sans-serif"/>
        <color rgb="FF1155CC"/>
        <u/>
      </rPr>
      <t>ktkrrish1805@gmail.com</t>
    </r>
  </si>
  <si>
    <t>USINT2026070774327</t>
  </si>
  <si>
    <t>Deekshitha P</t>
  </si>
  <si>
    <r>
      <rPr>
        <rFont val="Arial, sans-serif"/>
        <color rgb="FF1155CC"/>
        <u/>
      </rPr>
      <t>zudeekzhu@gmail.com</t>
    </r>
  </si>
  <si>
    <t>USINT2026070760613</t>
  </si>
  <si>
    <t>Hari Krishnan A</t>
  </si>
  <si>
    <r>
      <rPr>
        <rFont val="Arial, sans-serif"/>
        <color rgb="FF1155CC"/>
        <u/>
      </rPr>
      <t>aharikrishnan456@gmail.com</t>
    </r>
  </si>
  <si>
    <t>USINT2026070749944</t>
  </si>
  <si>
    <t>Hariharan B</t>
  </si>
  <si>
    <r>
      <rPr>
        <rFont val="Arial, sans-serif"/>
        <color rgb="FF1155CC"/>
        <u/>
      </rPr>
      <t>hariharan56333@gmail.com</t>
    </r>
  </si>
  <si>
    <t>USINT2026070702288</t>
  </si>
  <si>
    <t>Ahad Alam</t>
  </si>
  <si>
    <r>
      <rPr>
        <rFont val="Arial, sans-serif"/>
        <color rgb="FF1155CC"/>
        <u/>
      </rPr>
      <t>ahadalam9093@gmail.com</t>
    </r>
  </si>
  <si>
    <t>USINT2007100298803</t>
  </si>
  <si>
    <t>Kanupriya Upadhyay</t>
  </si>
  <si>
    <r>
      <rPr>
        <rFont val="Arial, sans-serif"/>
        <color rgb="FF1155CC"/>
        <u/>
      </rPr>
      <t>kanupriyakhushi@gmail.com</t>
    </r>
  </si>
  <si>
    <t>USINT2026070757314</t>
  </si>
  <si>
    <t>Gokulnath M</t>
  </si>
  <si>
    <t>gokulnathgokulnath753@gmail.com</t>
  </si>
  <si>
    <t>19/07/2026</t>
  </si>
  <si>
    <t>USINT2026200761136</t>
  </si>
  <si>
    <t>MOHAMMED ZEESHAN</t>
  </si>
  <si>
    <t>160425748039@mjcollege.ac.in</t>
  </si>
  <si>
    <t>19/10/2026</t>
  </si>
  <si>
    <t>USINT2026200733458</t>
  </si>
  <si>
    <t>Sania Rose</t>
  </si>
  <si>
    <t>sainakhan4868@gmail.com</t>
  </si>
  <si>
    <t>20/07/2026</t>
  </si>
  <si>
    <t>USINT2026210743464</t>
  </si>
  <si>
    <t>Jagannath Gaonkar</t>
  </si>
  <si>
    <t>jagannathgao305@gmail.com</t>
  </si>
  <si>
    <t>20/10/2026</t>
  </si>
  <si>
    <t>USINT2026200744245</t>
  </si>
  <si>
    <t>Priyanka Dilip</t>
  </si>
  <si>
    <t>priyankadilip895@gmail.com</t>
  </si>
  <si>
    <t>USINT2026210727656</t>
  </si>
  <si>
    <t>Akash Maurya</t>
  </si>
  <si>
    <t>am08077772@gmail.com</t>
  </si>
  <si>
    <t>USINT2026060819829</t>
  </si>
  <si>
    <t>Tamojyoti Maitra</t>
  </si>
  <si>
    <t>tamojyoti2005maitra@gmail.com</t>
  </si>
  <si>
    <t>USINT2026060850748</t>
  </si>
  <si>
    <t>Sumit Kumar</t>
  </si>
  <si>
    <t>sumityadav1843265@gmail.com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</si>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</sst>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3">
    <font>
      <sz val="10.0"/>
      <color rgb="FF000000"/>
      <name val="Arial"/>
      <scheme val="minor"/>
    </font>
    <font>
      <sz val="10.0"/>
      <color rgb="FF1A1B1F"/>
      <name val="Roboto"/>
    </font>
    <font>
      <b/>
      <color rgb="FFFFFFFF"/>
      <name val="Arial"/>
    </font>
    <font>
      <color rgb="FF333333"/>
      <name val="Arial"/>
    </font>
    <font>
      <b/>
      <color rgb="FF333333"/>
      <name val="Arial"/>
    </font>
    <font>
      <u/>
      <color rgb="FF0000FF"/>
      <name val="Arial"/>
    </font>
    <font>
      <b/>
      <color rgb="FF0056B3"/>
      <name val="Arial"/>
    </font>
    <font>
      <u/>
      <color rgb="FF0000FF"/>
      <name val="Arial"/>
    </font>
    <font>
      <u/>
      <sz val="10.0"/>
      <color rgb="FF0000FF"/>
      <name val="Roboto"/>
    </font>
    <font>
      <color theme="1"/>
      <name val="Arial"/>
      <scheme val="minor"/>
    </font>
    <font>
      <color theme="1"/>
      <name val="Arial"/>
    </font>
    <font>
      <b/>
      <sz val="10.0"/>
      <color rgb="FF1A1B1F"/>
      <name val="Roboto"/>
    </font>
    <font>
      <b/>
      <sz val="10.0"/>
      <color rgb="FF0000F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28A745"/>
        <bgColor rgb="FF28A745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9F9FF"/>
        <bgColor rgb="FFF9F9FF"/>
      </patternFill>
    </fill>
  </fills>
  <borders count="8">
    <border/>
    <border>
      <left style="thin">
        <color rgb="FF74777E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74777E"/>
      </right>
      <top style="thin">
        <color rgb="FFD8D8D8"/>
      </top>
      <bottom style="thin">
        <color rgb="FFD8D8D8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74777E"/>
      </left>
      <right style="thin">
        <color rgb="FFD8D8D8"/>
      </right>
      <top style="thin">
        <color rgb="FFD8D8D8"/>
      </top>
      <bottom style="thin">
        <color rgb="FF74777E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74777E"/>
      </bottom>
    </border>
    <border>
      <left style="thin">
        <color rgb="FFD8D8D8"/>
      </left>
      <right style="thin">
        <color rgb="FF74777E"/>
      </right>
      <top style="thin">
        <color rgb="FFD8D8D8"/>
      </top>
      <bottom style="thin">
        <color rgb="FF74777E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left" vertical="center"/>
    </xf>
    <xf borderId="4" fillId="2" fontId="2" numFmtId="0" xfId="0" applyAlignment="1" applyBorder="1" applyFill="1" applyFont="1">
      <alignment horizontal="center" readingOrder="0"/>
    </xf>
    <xf borderId="4" fillId="3" fontId="3" numFmtId="164" xfId="0" applyAlignment="1" applyBorder="1" applyFill="1" applyFont="1" applyNumberFormat="1">
      <alignment horizontal="center" readingOrder="0"/>
    </xf>
    <xf borderId="4" fillId="3" fontId="3" numFmtId="0" xfId="0" applyAlignment="1" applyBorder="1" applyFont="1">
      <alignment horizontal="center" readingOrder="0"/>
    </xf>
    <xf borderId="4" fillId="3" fontId="4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4" fillId="3" fontId="3" numFmtId="0" xfId="0" applyAlignment="1" applyBorder="1" applyFont="1">
      <alignment horizontal="center"/>
    </xf>
    <xf borderId="4" fillId="3" fontId="6" numFmtId="0" xfId="0" applyAlignment="1" applyBorder="1" applyFont="1">
      <alignment readingOrder="0"/>
    </xf>
    <xf borderId="4" fillId="4" fontId="3" numFmtId="0" xfId="0" applyAlignment="1" applyBorder="1" applyFill="1" applyFont="1">
      <alignment horizontal="center" readingOrder="0"/>
    </xf>
    <xf borderId="4" fillId="4" fontId="4" numFmtId="0" xfId="0" applyAlignment="1" applyBorder="1" applyFont="1">
      <alignment readingOrder="0"/>
    </xf>
    <xf borderId="4" fillId="4" fontId="3" numFmtId="0" xfId="0" applyAlignment="1" applyBorder="1" applyFont="1">
      <alignment horizontal="center"/>
    </xf>
    <xf borderId="4" fillId="4" fontId="6" numFmtId="0" xfId="0" applyAlignment="1" applyBorder="1" applyFont="1">
      <alignment readingOrder="0"/>
    </xf>
    <xf borderId="4" fillId="4" fontId="3" numFmtId="164" xfId="0" applyAlignment="1" applyBorder="1" applyFont="1" applyNumberFormat="1">
      <alignment horizontal="center" readingOrder="0"/>
    </xf>
    <xf borderId="4" fillId="0" fontId="7" numFmtId="0" xfId="0" applyAlignment="1" applyBorder="1" applyFont="1">
      <alignment readingOrder="0"/>
    </xf>
    <xf borderId="0" fillId="3" fontId="3" numFmtId="0" xfId="0" applyAlignment="1" applyFont="1">
      <alignment horizontal="center" readingOrder="0"/>
    </xf>
    <xf borderId="4" fillId="4" fontId="4" numFmtId="0" xfId="0" applyAlignment="1" applyBorder="1" applyFont="1">
      <alignment vertical="bottom"/>
    </xf>
    <xf borderId="2" fillId="0" fontId="8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0" fillId="5" fontId="3" numFmtId="0" xfId="0" applyAlignment="1" applyFill="1" applyFont="1">
      <alignment horizontal="center" vertical="bottom"/>
    </xf>
    <xf borderId="0" fillId="4" fontId="3" numFmtId="0" xfId="0" applyAlignment="1" applyFont="1">
      <alignment horizontal="center" vertical="bottom"/>
    </xf>
    <xf borderId="4" fillId="3" fontId="4" numFmtId="0" xfId="0" applyAlignment="1" applyBorder="1" applyFont="1">
      <alignment vertical="bottom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vertical="bottom"/>
    </xf>
    <xf borderId="4" fillId="3" fontId="4" numFmtId="0" xfId="0" applyAlignment="1" applyBorder="1" applyFont="1">
      <alignment horizontal="left" vertical="bottom"/>
    </xf>
    <xf borderId="4" fillId="3" fontId="6" numFmtId="0" xfId="0" applyAlignment="1" applyBorder="1" applyFont="1">
      <alignment horizontal="left" readingOrder="0"/>
    </xf>
    <xf borderId="0" fillId="0" fontId="1" numFmtId="164" xfId="0" applyAlignment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horizontal="left" readingOrder="0" vertical="center"/>
    </xf>
    <xf borderId="4" fillId="4" fontId="6" numFmtId="0" xfId="0" applyAlignment="1" applyBorder="1" applyFont="1">
      <alignment horizontal="left" readingOrder="0"/>
    </xf>
    <xf borderId="2" fillId="0" fontId="1" numFmtId="164" xfId="0" applyAlignment="1" applyBorder="1" applyFont="1" applyNumberFormat="1">
      <alignment horizontal="center" readingOrder="0" vertical="center"/>
    </xf>
    <xf borderId="3" fillId="0" fontId="1" numFmtId="164" xfId="0" applyAlignment="1" applyBorder="1" applyFont="1" applyNumberFormat="1">
      <alignment horizontal="center" readingOrder="0" vertical="center"/>
    </xf>
    <xf borderId="2" fillId="0" fontId="12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horizontal="left" readingOrder="0" vertical="center"/>
    </xf>
    <xf borderId="5" fillId="0" fontId="1" numFmtId="0" xfId="0" applyAlignment="1" applyBorder="1" applyFont="1">
      <alignment horizontal="left" vertical="center"/>
    </xf>
    <xf borderId="6" fillId="0" fontId="1" numFmtId="0" xfId="0" applyAlignment="1" applyBorder="1" applyFont="1">
      <alignment horizontal="left" vertical="center"/>
    </xf>
    <xf borderId="7" fillId="0" fontId="1" numFmtId="0" xfId="0" applyAlignment="1" applyBorder="1" applyFont="1">
      <alignment horizontal="left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New intern databa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H88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New intern databa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akshayamarupaka8@gmail.com" TargetMode="External"/><Relationship Id="rId42" Type="http://schemas.openxmlformats.org/officeDocument/2006/relationships/hyperlink" Target="mailto:reshmaanilkumar04@gmail.com" TargetMode="External"/><Relationship Id="rId41" Type="http://schemas.openxmlformats.org/officeDocument/2006/relationships/hyperlink" Target="mailto:r7259575@gmail.com" TargetMode="External"/><Relationship Id="rId44" Type="http://schemas.openxmlformats.org/officeDocument/2006/relationships/hyperlink" Target="mailto:zudeekzhu@gmail.com" TargetMode="External"/><Relationship Id="rId43" Type="http://schemas.openxmlformats.org/officeDocument/2006/relationships/hyperlink" Target="mailto:ktkrrish1805@gmail.com" TargetMode="External"/><Relationship Id="rId46" Type="http://schemas.openxmlformats.org/officeDocument/2006/relationships/hyperlink" Target="mailto:hariharan56333@gmail.com" TargetMode="External"/><Relationship Id="rId45" Type="http://schemas.openxmlformats.org/officeDocument/2006/relationships/hyperlink" Target="mailto:aharikrishnan456@gmail.com" TargetMode="External"/><Relationship Id="rId1" Type="http://schemas.openxmlformats.org/officeDocument/2006/relationships/hyperlink" Target="mailto:dasarisandhhya0105@gmail.com" TargetMode="External"/><Relationship Id="rId2" Type="http://schemas.openxmlformats.org/officeDocument/2006/relationships/hyperlink" Target="mailto:srushtisd14@gmail.com" TargetMode="External"/><Relationship Id="rId3" Type="http://schemas.openxmlformats.org/officeDocument/2006/relationships/hyperlink" Target="mailto:reddyvimal087@gmail.com" TargetMode="External"/><Relationship Id="rId4" Type="http://schemas.openxmlformats.org/officeDocument/2006/relationships/hyperlink" Target="mailto:sonushreyas121@gmail.com" TargetMode="External"/><Relationship Id="rId9" Type="http://schemas.openxmlformats.org/officeDocument/2006/relationships/hyperlink" Target="mailto:shivanigujja05@gmail.com" TargetMode="External"/><Relationship Id="rId48" Type="http://schemas.openxmlformats.org/officeDocument/2006/relationships/hyperlink" Target="mailto:kanupriyakhushi@gmail.com" TargetMode="External"/><Relationship Id="rId47" Type="http://schemas.openxmlformats.org/officeDocument/2006/relationships/hyperlink" Target="mailto:ahadalam9093@gmail.com" TargetMode="External"/><Relationship Id="rId49" Type="http://schemas.openxmlformats.org/officeDocument/2006/relationships/hyperlink" Target="mailto:gokulnathgokulnath753@gmail.com" TargetMode="External"/><Relationship Id="rId5" Type="http://schemas.openxmlformats.org/officeDocument/2006/relationships/hyperlink" Target="mailto:kiransinha2746@gmail.com" TargetMode="External"/><Relationship Id="rId6" Type="http://schemas.openxmlformats.org/officeDocument/2006/relationships/hyperlink" Target="mailto:vaidgularohithreddy@gmail.com" TargetMode="External"/><Relationship Id="rId7" Type="http://schemas.openxmlformats.org/officeDocument/2006/relationships/hyperlink" Target="mailto:riddhidalmia85@gmail.com" TargetMode="External"/><Relationship Id="rId8" Type="http://schemas.openxmlformats.org/officeDocument/2006/relationships/hyperlink" Target="mailto:badhriprasathdr@gmail.com" TargetMode="External"/><Relationship Id="rId31" Type="http://schemas.openxmlformats.org/officeDocument/2006/relationships/hyperlink" Target="mailto:dsaptarshi116@gmail.com" TargetMode="External"/><Relationship Id="rId30" Type="http://schemas.openxmlformats.org/officeDocument/2006/relationships/hyperlink" Target="mailto:dubeyyash2025@gmail.com" TargetMode="External"/><Relationship Id="rId33" Type="http://schemas.openxmlformats.org/officeDocument/2006/relationships/hyperlink" Target="mailto:shashwatmr360@gmail.com" TargetMode="External"/><Relationship Id="rId32" Type="http://schemas.openxmlformats.org/officeDocument/2006/relationships/hyperlink" Target="mailto:jitendrakumarbly90@gmail.com" TargetMode="External"/><Relationship Id="rId35" Type="http://schemas.openxmlformats.org/officeDocument/2006/relationships/hyperlink" Target="mailto:harish03461@gmail.com" TargetMode="External"/><Relationship Id="rId34" Type="http://schemas.openxmlformats.org/officeDocument/2006/relationships/hyperlink" Target="mailto:ramandeepsinghjodha@gmail.com" TargetMode="External"/><Relationship Id="rId37" Type="http://schemas.openxmlformats.org/officeDocument/2006/relationships/hyperlink" Target="mailto:mallelapavani1@gmail.com" TargetMode="External"/><Relationship Id="rId36" Type="http://schemas.openxmlformats.org/officeDocument/2006/relationships/hyperlink" Target="mailto:chandanasrinivas16@gmail.com" TargetMode="External"/><Relationship Id="rId39" Type="http://schemas.openxmlformats.org/officeDocument/2006/relationships/hyperlink" Target="mailto:saipradheepreddy@gmail.com" TargetMode="External"/><Relationship Id="rId38" Type="http://schemas.openxmlformats.org/officeDocument/2006/relationships/hyperlink" Target="mailto:pinnugowthamreddy@gmail.com" TargetMode="External"/><Relationship Id="rId20" Type="http://schemas.openxmlformats.org/officeDocument/2006/relationships/hyperlink" Target="mailto:anupamsharma9786@gmail.com" TargetMode="External"/><Relationship Id="rId22" Type="http://schemas.openxmlformats.org/officeDocument/2006/relationships/hyperlink" Target="mailto:vipul7014442317@gmail.com" TargetMode="External"/><Relationship Id="rId21" Type="http://schemas.openxmlformats.org/officeDocument/2006/relationships/hyperlink" Target="mailto:nikshithabodas@gmail.com" TargetMode="External"/><Relationship Id="rId24" Type="http://schemas.openxmlformats.org/officeDocument/2006/relationships/hyperlink" Target="mailto:drishtikhandelwal10037@gmail.com" TargetMode="External"/><Relationship Id="rId23" Type="http://schemas.openxmlformats.org/officeDocument/2006/relationships/hyperlink" Target="mailto:makwanatushar277@gmail.com" TargetMode="External"/><Relationship Id="rId26" Type="http://schemas.openxmlformats.org/officeDocument/2006/relationships/hyperlink" Target="mailto:sharmanikesh040@gmail.com" TargetMode="External"/><Relationship Id="rId25" Type="http://schemas.openxmlformats.org/officeDocument/2006/relationships/hyperlink" Target="mailto:anshikaaggarwal272@gmail.com" TargetMode="External"/><Relationship Id="rId28" Type="http://schemas.openxmlformats.org/officeDocument/2006/relationships/hyperlink" Target="mailto:vishalkumarr3005@gmail.com" TargetMode="External"/><Relationship Id="rId27" Type="http://schemas.openxmlformats.org/officeDocument/2006/relationships/hyperlink" Target="mailto:akshayagundu7@gmail.com" TargetMode="External"/><Relationship Id="rId29" Type="http://schemas.openxmlformats.org/officeDocument/2006/relationships/hyperlink" Target="mailto:meghanagummadi092@gmail.com" TargetMode="External"/><Relationship Id="rId51" Type="http://schemas.openxmlformats.org/officeDocument/2006/relationships/hyperlink" Target="mailto:sainakhan4868@gmail.com" TargetMode="External"/><Relationship Id="rId50" Type="http://schemas.openxmlformats.org/officeDocument/2006/relationships/hyperlink" Target="mailto:160425748039@mjcollege.ac.in" TargetMode="External"/><Relationship Id="rId53" Type="http://schemas.openxmlformats.org/officeDocument/2006/relationships/hyperlink" Target="mailto:priyankadilip895@gmail.com" TargetMode="External"/><Relationship Id="rId52" Type="http://schemas.openxmlformats.org/officeDocument/2006/relationships/hyperlink" Target="mailto:jagannathgao305@gmail.com" TargetMode="External"/><Relationship Id="rId11" Type="http://schemas.openxmlformats.org/officeDocument/2006/relationships/hyperlink" Target="mailto:gayatrikatole06@gmail.com" TargetMode="External"/><Relationship Id="rId55" Type="http://schemas.openxmlformats.org/officeDocument/2006/relationships/hyperlink" Target="mailto:tamojyoti2005maitra@gmail.com" TargetMode="External"/><Relationship Id="rId10" Type="http://schemas.openxmlformats.org/officeDocument/2006/relationships/hyperlink" Target="mailto:asbaqureshi23@gmail.com" TargetMode="External"/><Relationship Id="rId54" Type="http://schemas.openxmlformats.org/officeDocument/2006/relationships/hyperlink" Target="mailto:am08077772@gmail.com" TargetMode="External"/><Relationship Id="rId13" Type="http://schemas.openxmlformats.org/officeDocument/2006/relationships/hyperlink" Target="mailto:pratheeshvk18@gmail.com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mailto:aitlamanichandar4115@gmail.com" TargetMode="External"/><Relationship Id="rId56" Type="http://schemas.openxmlformats.org/officeDocument/2006/relationships/hyperlink" Target="mailto:sumityadav1843265@gmail.com" TargetMode="External"/><Relationship Id="rId15" Type="http://schemas.openxmlformats.org/officeDocument/2006/relationships/hyperlink" Target="mailto:z65009027@gmail.com" TargetMode="External"/><Relationship Id="rId59" Type="http://schemas.openxmlformats.org/officeDocument/2006/relationships/table" Target="../tables/table1.xml"/><Relationship Id="rId14" Type="http://schemas.openxmlformats.org/officeDocument/2006/relationships/hyperlink" Target="mailto:poojarattan470@gmail.com" TargetMode="External"/><Relationship Id="rId17" Type="http://schemas.openxmlformats.org/officeDocument/2006/relationships/hyperlink" Target="mailto:palakrajsingh92@gmail.com" TargetMode="External"/><Relationship Id="rId16" Type="http://schemas.openxmlformats.org/officeDocument/2006/relationships/hyperlink" Target="mailto:sahushashwat27@gmail.com" TargetMode="External"/><Relationship Id="rId19" Type="http://schemas.openxmlformats.org/officeDocument/2006/relationships/hyperlink" Target="mailto:keerthanay10@gmail.com" TargetMode="External"/><Relationship Id="rId18" Type="http://schemas.openxmlformats.org/officeDocument/2006/relationships/hyperlink" Target="mailto:rohannaik2956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9.38"/>
    <col customWidth="1" min="3" max="3" width="36.88"/>
    <col customWidth="1" min="4" max="4" width="25.13"/>
    <col customWidth="1" min="5" max="5" width="18.75"/>
    <col customWidth="1" min="6" max="6" width="18.13"/>
    <col customWidth="1" min="7" max="7" width="16.38"/>
    <col customWidth="1" min="8" max="8" width="16.63"/>
  </cols>
  <sheetData>
    <row r="1">
      <c r="A1" s="1"/>
      <c r="B1" s="2"/>
      <c r="C1" s="3"/>
      <c r="D1" s="3"/>
      <c r="E1" s="3"/>
      <c r="F1" s="3"/>
      <c r="G1" s="3"/>
      <c r="H1" s="4"/>
    </row>
    <row r="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</row>
    <row r="3">
      <c r="A3" s="6">
        <v>46178.0</v>
      </c>
      <c r="B3" s="7" t="s">
        <v>8</v>
      </c>
      <c r="C3" s="8" t="s">
        <v>9</v>
      </c>
      <c r="D3" s="9" t="s">
        <v>10</v>
      </c>
      <c r="E3" s="10">
        <f>+916304239727</f>
        <v>916304239727</v>
      </c>
      <c r="F3" s="11" t="s">
        <v>11</v>
      </c>
      <c r="G3" s="6">
        <v>46178.0</v>
      </c>
      <c r="H3" s="6">
        <v>46181.0</v>
      </c>
    </row>
    <row r="4">
      <c r="A4" s="12" t="s">
        <v>12</v>
      </c>
      <c r="B4" s="12" t="s">
        <v>13</v>
      </c>
      <c r="C4" s="13" t="s">
        <v>14</v>
      </c>
      <c r="D4" s="9" t="s">
        <v>15</v>
      </c>
      <c r="E4" s="14">
        <f>+917972896781</f>
        <v>917972896781</v>
      </c>
      <c r="F4" s="15" t="s">
        <v>11</v>
      </c>
      <c r="G4" s="12" t="s">
        <v>16</v>
      </c>
      <c r="H4" s="12" t="s">
        <v>17</v>
      </c>
    </row>
    <row r="5">
      <c r="A5" s="7" t="s">
        <v>18</v>
      </c>
      <c r="B5" s="7" t="s">
        <v>19</v>
      </c>
      <c r="C5" s="8" t="s">
        <v>20</v>
      </c>
      <c r="D5" s="9" t="s">
        <v>21</v>
      </c>
      <c r="E5" s="10">
        <f>+916302222153</f>
        <v>916302222153</v>
      </c>
      <c r="F5" s="11" t="s">
        <v>11</v>
      </c>
      <c r="G5" s="7" t="s">
        <v>18</v>
      </c>
      <c r="H5" s="7" t="s">
        <v>22</v>
      </c>
    </row>
    <row r="6">
      <c r="A6" s="7" t="s">
        <v>23</v>
      </c>
      <c r="B6" s="7" t="s">
        <v>24</v>
      </c>
      <c r="C6" s="8" t="s">
        <v>25</v>
      </c>
      <c r="D6" s="9" t="s">
        <v>26</v>
      </c>
      <c r="E6" s="10">
        <f>+917892862934</f>
        <v>917892862934</v>
      </c>
      <c r="F6" s="11" t="s">
        <v>27</v>
      </c>
      <c r="G6" s="7" t="s">
        <v>28</v>
      </c>
      <c r="H6" s="7" t="s">
        <v>29</v>
      </c>
    </row>
    <row r="7">
      <c r="A7" s="7" t="s">
        <v>18</v>
      </c>
      <c r="B7" s="7" t="s">
        <v>30</v>
      </c>
      <c r="C7" s="8" t="s">
        <v>31</v>
      </c>
      <c r="D7" s="9" t="s">
        <v>32</v>
      </c>
      <c r="E7" s="10">
        <f>+917827955695</f>
        <v>917827955695</v>
      </c>
      <c r="F7" s="11" t="s">
        <v>27</v>
      </c>
      <c r="G7" s="7" t="s">
        <v>33</v>
      </c>
      <c r="H7" s="7" t="s">
        <v>34</v>
      </c>
    </row>
    <row r="8">
      <c r="A8" s="12" t="s">
        <v>18</v>
      </c>
      <c r="B8" s="12" t="s">
        <v>35</v>
      </c>
      <c r="C8" s="13" t="s">
        <v>36</v>
      </c>
      <c r="D8" s="9" t="s">
        <v>37</v>
      </c>
      <c r="E8" s="14">
        <f>+919391746880</f>
        <v>919391746880</v>
      </c>
      <c r="F8" s="15" t="s">
        <v>11</v>
      </c>
      <c r="G8" s="12" t="s">
        <v>18</v>
      </c>
      <c r="H8" s="12" t="s">
        <v>22</v>
      </c>
    </row>
    <row r="9">
      <c r="A9" s="6">
        <v>46239.0</v>
      </c>
      <c r="B9" s="7" t="s">
        <v>38</v>
      </c>
      <c r="C9" s="8" t="s">
        <v>39</v>
      </c>
      <c r="D9" s="9" t="s">
        <v>40</v>
      </c>
      <c r="E9" s="10">
        <f>+917870898920</f>
        <v>917870898920</v>
      </c>
      <c r="F9" s="11" t="s">
        <v>11</v>
      </c>
      <c r="G9" s="7" t="s">
        <v>41</v>
      </c>
      <c r="H9" s="7" t="s">
        <v>42</v>
      </c>
    </row>
    <row r="10">
      <c r="A10" s="12" t="s">
        <v>43</v>
      </c>
      <c r="B10" s="12" t="s">
        <v>44</v>
      </c>
      <c r="C10" s="13" t="s">
        <v>45</v>
      </c>
      <c r="D10" s="9" t="s">
        <v>46</v>
      </c>
      <c r="E10" s="14">
        <f>+919626263760</f>
        <v>919626263760</v>
      </c>
      <c r="F10" s="15" t="s">
        <v>47</v>
      </c>
      <c r="G10" s="12" t="s">
        <v>43</v>
      </c>
      <c r="H10" s="12" t="s">
        <v>48</v>
      </c>
    </row>
    <row r="11">
      <c r="A11" s="7" t="s">
        <v>18</v>
      </c>
      <c r="B11" s="7" t="s">
        <v>49</v>
      </c>
      <c r="C11" s="8" t="s">
        <v>50</v>
      </c>
      <c r="D11" s="9" t="s">
        <v>51</v>
      </c>
      <c r="E11" s="10">
        <f>+918328164636</f>
        <v>918328164636</v>
      </c>
      <c r="F11" s="11" t="s">
        <v>11</v>
      </c>
      <c r="G11" s="7" t="s">
        <v>18</v>
      </c>
      <c r="H11" s="7" t="s">
        <v>22</v>
      </c>
    </row>
    <row r="12">
      <c r="A12" s="16">
        <v>46239.0</v>
      </c>
      <c r="B12" s="12" t="s">
        <v>52</v>
      </c>
      <c r="C12" s="13" t="s">
        <v>53</v>
      </c>
      <c r="D12" s="9" t="s">
        <v>54</v>
      </c>
      <c r="E12" s="14">
        <f>+918741993463</f>
        <v>918741993463</v>
      </c>
      <c r="F12" s="15" t="s">
        <v>11</v>
      </c>
      <c r="G12" s="12" t="s">
        <v>55</v>
      </c>
      <c r="H12" s="12" t="s">
        <v>56</v>
      </c>
    </row>
    <row r="13">
      <c r="A13" s="6">
        <v>46361.0</v>
      </c>
      <c r="B13" s="7" t="s">
        <v>57</v>
      </c>
      <c r="C13" s="8" t="s">
        <v>58</v>
      </c>
      <c r="D13" s="9" t="s">
        <v>59</v>
      </c>
      <c r="E13" s="10">
        <f>+917499766336</f>
        <v>917499766336</v>
      </c>
      <c r="F13" s="11" t="s">
        <v>11</v>
      </c>
      <c r="G13" s="6">
        <v>46208.0</v>
      </c>
      <c r="H13" s="6">
        <v>46211.0</v>
      </c>
    </row>
    <row r="14">
      <c r="A14" s="7" t="s">
        <v>60</v>
      </c>
      <c r="B14" s="7" t="s">
        <v>61</v>
      </c>
      <c r="C14" s="8" t="s">
        <v>62</v>
      </c>
      <c r="D14" s="9" t="s">
        <v>63</v>
      </c>
      <c r="E14" s="10">
        <f>+918519848439</f>
        <v>918519848439</v>
      </c>
      <c r="F14" s="11" t="s">
        <v>11</v>
      </c>
      <c r="G14" s="7" t="s">
        <v>60</v>
      </c>
      <c r="H14" s="7" t="s">
        <v>64</v>
      </c>
    </row>
    <row r="15">
      <c r="A15" s="16">
        <v>46029.0</v>
      </c>
      <c r="B15" s="12" t="s">
        <v>65</v>
      </c>
      <c r="C15" s="13" t="s">
        <v>66</v>
      </c>
      <c r="D15" s="9" t="s">
        <v>67</v>
      </c>
      <c r="E15" s="14">
        <f>+919488345907</f>
        <v>919488345907</v>
      </c>
      <c r="F15" s="15" t="s">
        <v>68</v>
      </c>
      <c r="G15" s="12" t="s">
        <v>69</v>
      </c>
      <c r="H15" s="12" t="s">
        <v>70</v>
      </c>
    </row>
    <row r="16">
      <c r="A16" s="6">
        <v>46029.0</v>
      </c>
      <c r="B16" s="7" t="s">
        <v>71</v>
      </c>
      <c r="C16" s="8" t="s">
        <v>72</v>
      </c>
      <c r="D16" s="9" t="s">
        <v>73</v>
      </c>
      <c r="E16" s="10">
        <f>+919873675724</f>
        <v>919873675724</v>
      </c>
      <c r="F16" s="11" t="s">
        <v>11</v>
      </c>
      <c r="G16" s="7" t="s">
        <v>74</v>
      </c>
      <c r="H16" s="7" t="s">
        <v>75</v>
      </c>
    </row>
    <row r="17">
      <c r="A17" s="16">
        <v>46088.0</v>
      </c>
      <c r="B17" s="12" t="s">
        <v>76</v>
      </c>
      <c r="C17" s="13" t="s">
        <v>77</v>
      </c>
      <c r="D17" s="9" t="s">
        <v>78</v>
      </c>
      <c r="E17" s="14">
        <f>+919569277619</f>
        <v>919569277619</v>
      </c>
      <c r="F17" s="15" t="s">
        <v>68</v>
      </c>
      <c r="G17" s="16">
        <v>46060.0</v>
      </c>
      <c r="H17" s="16">
        <v>46063.0</v>
      </c>
    </row>
    <row r="18">
      <c r="A18" s="6">
        <v>46088.0</v>
      </c>
      <c r="B18" s="7" t="s">
        <v>79</v>
      </c>
      <c r="C18" s="8" t="s">
        <v>80</v>
      </c>
      <c r="D18" s="9" t="s">
        <v>81</v>
      </c>
      <c r="E18" s="10">
        <f>+916263065363</f>
        <v>916263065363</v>
      </c>
      <c r="F18" s="11" t="s">
        <v>68</v>
      </c>
      <c r="G18" s="6">
        <v>46060.0</v>
      </c>
      <c r="H18" s="6">
        <v>46063.0</v>
      </c>
    </row>
    <row r="19">
      <c r="A19" s="16">
        <v>46088.0</v>
      </c>
      <c r="B19" s="12" t="s">
        <v>82</v>
      </c>
      <c r="C19" s="13" t="s">
        <v>83</v>
      </c>
      <c r="D19" s="9" t="s">
        <v>84</v>
      </c>
      <c r="E19" s="14">
        <f>+919818724749</f>
        <v>919818724749</v>
      </c>
      <c r="F19" s="15" t="s">
        <v>68</v>
      </c>
      <c r="G19" s="16">
        <v>46060.0</v>
      </c>
      <c r="H19" s="16">
        <v>46063.0</v>
      </c>
    </row>
    <row r="20">
      <c r="A20" s="6">
        <v>46088.0</v>
      </c>
      <c r="B20" s="7" t="s">
        <v>85</v>
      </c>
      <c r="C20" s="8" t="s">
        <v>86</v>
      </c>
      <c r="D20" s="9" t="s">
        <v>87</v>
      </c>
      <c r="E20" s="10">
        <f>+918010301684</f>
        <v>918010301684</v>
      </c>
      <c r="F20" s="11" t="s">
        <v>68</v>
      </c>
      <c r="G20" s="6">
        <v>46029.0</v>
      </c>
      <c r="H20" s="6">
        <v>46032.0</v>
      </c>
    </row>
    <row r="21">
      <c r="A21" s="16">
        <v>46088.0</v>
      </c>
      <c r="B21" s="12" t="s">
        <v>88</v>
      </c>
      <c r="C21" s="13" t="s">
        <v>89</v>
      </c>
      <c r="D21" s="9" t="s">
        <v>90</v>
      </c>
      <c r="E21" s="14">
        <f>+917892692817</f>
        <v>917892692817</v>
      </c>
      <c r="F21" s="15" t="s">
        <v>68</v>
      </c>
      <c r="G21" s="16">
        <v>46060.0</v>
      </c>
      <c r="H21" s="16">
        <v>46063.0</v>
      </c>
    </row>
    <row r="22">
      <c r="A22" s="6">
        <v>46088.0</v>
      </c>
      <c r="B22" s="7" t="s">
        <v>91</v>
      </c>
      <c r="C22" s="8" t="s">
        <v>92</v>
      </c>
      <c r="D22" s="9" t="s">
        <v>93</v>
      </c>
      <c r="E22" s="10">
        <f>+919415725515</f>
        <v>919415725515</v>
      </c>
      <c r="F22" s="11" t="s">
        <v>68</v>
      </c>
      <c r="G22" s="6">
        <v>46060.0</v>
      </c>
      <c r="H22" s="6">
        <v>46063.0</v>
      </c>
    </row>
    <row r="23">
      <c r="A23" s="16">
        <v>46088.0</v>
      </c>
      <c r="B23" s="12" t="s">
        <v>94</v>
      </c>
      <c r="C23" s="13" t="s">
        <v>95</v>
      </c>
      <c r="D23" s="9" t="s">
        <v>96</v>
      </c>
      <c r="E23" s="14">
        <f>+918179406407</f>
        <v>918179406407</v>
      </c>
      <c r="F23" s="15" t="s">
        <v>68</v>
      </c>
      <c r="G23" s="16">
        <v>46060.0</v>
      </c>
      <c r="H23" s="16">
        <v>46063.0</v>
      </c>
    </row>
    <row r="24">
      <c r="A24" s="6">
        <v>46088.0</v>
      </c>
      <c r="B24" s="7" t="s">
        <v>97</v>
      </c>
      <c r="C24" s="8" t="s">
        <v>98</v>
      </c>
      <c r="D24" s="9" t="s">
        <v>99</v>
      </c>
      <c r="E24" s="10">
        <f>+917877099191</f>
        <v>917877099191</v>
      </c>
      <c r="F24" s="11" t="s">
        <v>11</v>
      </c>
      <c r="G24" s="7" t="s">
        <v>74</v>
      </c>
      <c r="H24" s="7" t="s">
        <v>75</v>
      </c>
    </row>
    <row r="25">
      <c r="A25" s="16">
        <v>46088.0</v>
      </c>
      <c r="B25" s="12" t="s">
        <v>100</v>
      </c>
      <c r="C25" s="13" t="s">
        <v>101</v>
      </c>
      <c r="D25" s="9" t="s">
        <v>102</v>
      </c>
      <c r="E25" s="14">
        <f>+916352809355</f>
        <v>916352809355</v>
      </c>
      <c r="F25" s="15" t="s">
        <v>68</v>
      </c>
      <c r="G25" s="16">
        <v>46029.0</v>
      </c>
      <c r="H25" s="16">
        <v>46032.0</v>
      </c>
    </row>
    <row r="26">
      <c r="A26" s="6">
        <v>46088.0</v>
      </c>
      <c r="B26" s="7" t="s">
        <v>103</v>
      </c>
      <c r="C26" s="8" t="s">
        <v>104</v>
      </c>
      <c r="D26" s="9" t="s">
        <v>105</v>
      </c>
      <c r="E26" s="10">
        <f>+919582828176</f>
        <v>919582828176</v>
      </c>
      <c r="F26" s="11" t="s">
        <v>68</v>
      </c>
      <c r="G26" s="6">
        <v>46060.0</v>
      </c>
      <c r="H26" s="6">
        <v>46063.0</v>
      </c>
    </row>
    <row r="27">
      <c r="A27" s="16">
        <v>46088.0</v>
      </c>
      <c r="B27" s="12" t="s">
        <v>106</v>
      </c>
      <c r="C27" s="13" t="s">
        <v>107</v>
      </c>
      <c r="D27" s="9" t="s">
        <v>108</v>
      </c>
      <c r="E27" s="14">
        <f>+919253404140</f>
        <v>919253404140</v>
      </c>
      <c r="F27" s="15" t="s">
        <v>68</v>
      </c>
      <c r="G27" s="12" t="s">
        <v>109</v>
      </c>
      <c r="H27" s="12" t="s">
        <v>110</v>
      </c>
    </row>
    <row r="28">
      <c r="A28" s="6">
        <v>46088.0</v>
      </c>
      <c r="B28" s="7" t="s">
        <v>111</v>
      </c>
      <c r="C28" s="8" t="s">
        <v>112</v>
      </c>
      <c r="D28" s="9" t="s">
        <v>113</v>
      </c>
      <c r="E28" s="10">
        <f>+919024308136</f>
        <v>919024308136</v>
      </c>
      <c r="F28" s="11" t="s">
        <v>68</v>
      </c>
      <c r="G28" s="7" t="s">
        <v>109</v>
      </c>
      <c r="H28" s="7" t="s">
        <v>110</v>
      </c>
    </row>
    <row r="29">
      <c r="A29" s="16">
        <v>46119.0</v>
      </c>
      <c r="B29" s="12" t="s">
        <v>114</v>
      </c>
      <c r="C29" s="13" t="s">
        <v>115</v>
      </c>
      <c r="D29" s="9" t="s">
        <v>116</v>
      </c>
      <c r="E29" s="12">
        <v>7.095206412E9</v>
      </c>
      <c r="F29" s="15" t="s">
        <v>68</v>
      </c>
      <c r="G29" s="12" t="s">
        <v>69</v>
      </c>
      <c r="H29" s="12" t="s">
        <v>70</v>
      </c>
    </row>
    <row r="30">
      <c r="A30" s="6">
        <v>46088.0</v>
      </c>
      <c r="B30" s="7" t="s">
        <v>117</v>
      </c>
      <c r="C30" s="8" t="s">
        <v>118</v>
      </c>
      <c r="D30" s="9" t="s">
        <v>119</v>
      </c>
      <c r="E30" s="10">
        <f>+919596189074</f>
        <v>919596189074</v>
      </c>
      <c r="F30" s="11" t="s">
        <v>11</v>
      </c>
      <c r="G30" s="6">
        <v>46060.0</v>
      </c>
      <c r="H30" s="6">
        <v>46063.0</v>
      </c>
    </row>
    <row r="31">
      <c r="A31" s="16">
        <v>46029.0</v>
      </c>
      <c r="B31" s="12" t="s">
        <v>120</v>
      </c>
      <c r="C31" s="13" t="s">
        <v>121</v>
      </c>
      <c r="D31" s="9" t="s">
        <v>122</v>
      </c>
      <c r="E31" s="14">
        <f>+919014831943</f>
        <v>919014831943</v>
      </c>
      <c r="F31" s="15" t="s">
        <v>11</v>
      </c>
      <c r="G31" s="16">
        <v>46029.0</v>
      </c>
      <c r="H31" s="16">
        <v>46032.0</v>
      </c>
    </row>
    <row r="32">
      <c r="A32" s="6">
        <v>46119.0</v>
      </c>
      <c r="B32" s="7" t="s">
        <v>123</v>
      </c>
      <c r="C32" s="8" t="s">
        <v>124</v>
      </c>
      <c r="D32" s="9" t="s">
        <v>125</v>
      </c>
      <c r="E32" s="10">
        <f>+917887535424</f>
        <v>917887535424</v>
      </c>
      <c r="F32" s="11" t="s">
        <v>68</v>
      </c>
      <c r="G32" s="6">
        <v>46088.0</v>
      </c>
      <c r="H32" s="6">
        <v>46091.0</v>
      </c>
    </row>
    <row r="33">
      <c r="A33" s="16">
        <v>46119.0</v>
      </c>
      <c r="B33" s="12" t="s">
        <v>126</v>
      </c>
      <c r="C33" s="13" t="s">
        <v>127</v>
      </c>
      <c r="D33" s="9" t="s">
        <v>128</v>
      </c>
      <c r="E33" s="14">
        <f>+916371720811</f>
        <v>916371720811</v>
      </c>
      <c r="F33" s="15" t="s">
        <v>11</v>
      </c>
      <c r="G33" s="16">
        <v>46029.0</v>
      </c>
      <c r="H33" s="16">
        <v>46032.0</v>
      </c>
    </row>
    <row r="34">
      <c r="A34" s="6">
        <v>46119.0</v>
      </c>
      <c r="B34" s="7" t="s">
        <v>129</v>
      </c>
      <c r="C34" s="8" t="s">
        <v>130</v>
      </c>
      <c r="D34" s="9" t="s">
        <v>131</v>
      </c>
      <c r="E34" s="10">
        <f>+919027206839</f>
        <v>919027206839</v>
      </c>
      <c r="F34" s="11" t="s">
        <v>68</v>
      </c>
      <c r="G34" s="7" t="s">
        <v>132</v>
      </c>
      <c r="H34" s="7" t="s">
        <v>133</v>
      </c>
    </row>
    <row r="35">
      <c r="A35" s="16">
        <v>46119.0</v>
      </c>
      <c r="B35" s="12" t="s">
        <v>134</v>
      </c>
      <c r="C35" s="13" t="s">
        <v>135</v>
      </c>
      <c r="D35" s="9" t="s">
        <v>136</v>
      </c>
      <c r="E35" s="14">
        <f>+919312487841</f>
        <v>919312487841</v>
      </c>
      <c r="F35" s="15" t="s">
        <v>11</v>
      </c>
      <c r="G35" s="16">
        <v>46088.0</v>
      </c>
      <c r="H35" s="16">
        <v>46091.0</v>
      </c>
    </row>
    <row r="36">
      <c r="A36" s="16">
        <v>46180.0</v>
      </c>
      <c r="B36" s="12" t="s">
        <v>137</v>
      </c>
      <c r="C36" s="13" t="s">
        <v>138</v>
      </c>
      <c r="D36" s="9" t="s">
        <v>139</v>
      </c>
      <c r="E36" s="14">
        <f>+919414944694</f>
        <v>919414944694</v>
      </c>
      <c r="F36" s="15" t="s">
        <v>68</v>
      </c>
      <c r="G36" s="16">
        <v>46088.0</v>
      </c>
      <c r="H36" s="16">
        <v>46091.0</v>
      </c>
    </row>
    <row r="37">
      <c r="A37" s="6">
        <v>46180.0</v>
      </c>
      <c r="B37" s="7" t="s">
        <v>140</v>
      </c>
      <c r="C37" s="8" t="s">
        <v>141</v>
      </c>
      <c r="D37" s="9" t="s">
        <v>142</v>
      </c>
      <c r="E37" s="10">
        <f>+916369382220</f>
        <v>916369382220</v>
      </c>
      <c r="F37" s="11" t="s">
        <v>11</v>
      </c>
      <c r="G37" s="6">
        <v>46119.0</v>
      </c>
      <c r="H37" s="6">
        <v>46122.0</v>
      </c>
    </row>
    <row r="38">
      <c r="A38" s="16">
        <v>46180.0</v>
      </c>
      <c r="B38" s="12" t="s">
        <v>143</v>
      </c>
      <c r="C38" s="13" t="s">
        <v>144</v>
      </c>
      <c r="D38" s="9" t="s">
        <v>145</v>
      </c>
      <c r="E38" s="14">
        <f>+917899913429 / +919019031744</f>
        <v>0.9987822686</v>
      </c>
      <c r="F38" s="15" t="s">
        <v>11</v>
      </c>
      <c r="G38" s="16">
        <v>46119.0</v>
      </c>
      <c r="H38" s="16">
        <v>46122.0</v>
      </c>
    </row>
    <row r="39">
      <c r="A39" s="6">
        <v>46180.0</v>
      </c>
      <c r="B39" s="7" t="s">
        <v>146</v>
      </c>
      <c r="C39" s="8" t="s">
        <v>147</v>
      </c>
      <c r="D39" s="9" t="s">
        <v>148</v>
      </c>
      <c r="E39" s="10">
        <f>+919247923724</f>
        <v>919247923724</v>
      </c>
      <c r="F39" s="11" t="s">
        <v>68</v>
      </c>
      <c r="G39" s="6">
        <v>46119.0</v>
      </c>
      <c r="H39" s="6">
        <v>46122.0</v>
      </c>
    </row>
    <row r="40">
      <c r="A40" s="16">
        <v>46180.0</v>
      </c>
      <c r="B40" s="12" t="s">
        <v>149</v>
      </c>
      <c r="C40" s="13" t="s">
        <v>150</v>
      </c>
      <c r="D40" s="9" t="s">
        <v>151</v>
      </c>
      <c r="E40" s="14">
        <f>+918333834429</f>
        <v>918333834429</v>
      </c>
      <c r="F40" s="15" t="s">
        <v>11</v>
      </c>
      <c r="G40" s="16">
        <v>46119.0</v>
      </c>
      <c r="H40" s="16">
        <v>46122.0</v>
      </c>
    </row>
    <row r="41">
      <c r="A41" s="6">
        <v>46180.0</v>
      </c>
      <c r="B41" s="7" t="s">
        <v>152</v>
      </c>
      <c r="C41" s="8" t="s">
        <v>153</v>
      </c>
      <c r="D41" s="9" t="s">
        <v>154</v>
      </c>
      <c r="E41" s="10">
        <f>+917731088716</f>
        <v>917731088716</v>
      </c>
      <c r="F41" s="11" t="s">
        <v>155</v>
      </c>
      <c r="G41" s="7" t="s">
        <v>74</v>
      </c>
      <c r="H41" s="7" t="s">
        <v>75</v>
      </c>
    </row>
    <row r="42">
      <c r="A42" s="16">
        <v>46180.0</v>
      </c>
      <c r="B42" s="12" t="s">
        <v>156</v>
      </c>
      <c r="C42" s="13" t="s">
        <v>157</v>
      </c>
      <c r="D42" s="9" t="s">
        <v>158</v>
      </c>
      <c r="E42" s="14">
        <f>+919948951619</f>
        <v>919948951619</v>
      </c>
      <c r="F42" s="15" t="s">
        <v>155</v>
      </c>
      <c r="G42" s="16">
        <v>46119.0</v>
      </c>
      <c r="H42" s="16">
        <v>46122.0</v>
      </c>
    </row>
    <row r="43">
      <c r="A43" s="6">
        <v>46180.0</v>
      </c>
      <c r="B43" s="7" t="s">
        <v>159</v>
      </c>
      <c r="C43" s="8" t="s">
        <v>160</v>
      </c>
      <c r="D43" s="9" t="s">
        <v>161</v>
      </c>
      <c r="E43" s="10">
        <f>+919610112672</f>
        <v>919610112672</v>
      </c>
      <c r="F43" s="11" t="s">
        <v>68</v>
      </c>
      <c r="G43" s="7" t="s">
        <v>162</v>
      </c>
      <c r="H43" s="7" t="s">
        <v>163</v>
      </c>
    </row>
    <row r="44">
      <c r="A44" s="16">
        <v>46210.0</v>
      </c>
      <c r="B44" s="12" t="s">
        <v>164</v>
      </c>
      <c r="C44" s="13" t="s">
        <v>165</v>
      </c>
      <c r="D44" s="9" t="s">
        <v>166</v>
      </c>
      <c r="E44" s="14">
        <f>+918428492908</f>
        <v>918428492908</v>
      </c>
      <c r="F44" s="15" t="s">
        <v>11</v>
      </c>
      <c r="G44" s="16">
        <v>46180.0</v>
      </c>
      <c r="H44" s="16">
        <v>46183.0</v>
      </c>
    </row>
    <row r="45">
      <c r="A45" s="6">
        <v>46210.0</v>
      </c>
      <c r="B45" s="7" t="s">
        <v>167</v>
      </c>
      <c r="C45" s="8" t="s">
        <v>168</v>
      </c>
      <c r="D45" s="9" t="s">
        <v>169</v>
      </c>
      <c r="E45" s="10">
        <f>+917988414813</f>
        <v>917988414813</v>
      </c>
      <c r="F45" s="11" t="s">
        <v>11</v>
      </c>
      <c r="G45" s="6">
        <v>46180.0</v>
      </c>
      <c r="H45" s="6">
        <v>46183.0</v>
      </c>
    </row>
    <row r="46">
      <c r="A46" s="16">
        <v>46210.0</v>
      </c>
      <c r="B46" s="12" t="s">
        <v>170</v>
      </c>
      <c r="C46" s="13" t="s">
        <v>171</v>
      </c>
      <c r="D46" s="9" t="s">
        <v>172</v>
      </c>
      <c r="E46" s="14">
        <f>+918838798713</f>
        <v>918838798713</v>
      </c>
      <c r="F46" s="15" t="s">
        <v>11</v>
      </c>
      <c r="G46" s="16">
        <v>46060.0</v>
      </c>
      <c r="H46" s="16">
        <v>46063.0</v>
      </c>
    </row>
    <row r="47">
      <c r="A47" s="6">
        <v>46210.0</v>
      </c>
      <c r="B47" s="7" t="s">
        <v>173</v>
      </c>
      <c r="C47" s="8" t="s">
        <v>174</v>
      </c>
      <c r="D47" s="9" t="s">
        <v>175</v>
      </c>
      <c r="E47" s="7">
        <v>9.17339274369E11</v>
      </c>
      <c r="F47" s="11" t="s">
        <v>11</v>
      </c>
      <c r="G47" s="6">
        <v>46180.0</v>
      </c>
      <c r="H47" s="6">
        <v>46183.0</v>
      </c>
    </row>
    <row r="48">
      <c r="A48" s="16">
        <v>46210.0</v>
      </c>
      <c r="B48" s="12" t="s">
        <v>176</v>
      </c>
      <c r="C48" s="13" t="s">
        <v>177</v>
      </c>
      <c r="D48" s="9" t="s">
        <v>178</v>
      </c>
      <c r="E48" s="14">
        <f>+918925685633</f>
        <v>918925685633</v>
      </c>
      <c r="F48" s="15" t="s">
        <v>11</v>
      </c>
      <c r="G48" s="16">
        <v>46180.0</v>
      </c>
      <c r="H48" s="16">
        <v>46183.0</v>
      </c>
    </row>
    <row r="49">
      <c r="A49" s="6">
        <v>46210.0</v>
      </c>
      <c r="B49" s="7" t="s">
        <v>179</v>
      </c>
      <c r="C49" s="8" t="s">
        <v>180</v>
      </c>
      <c r="D49" s="9" t="s">
        <v>181</v>
      </c>
      <c r="E49" s="10">
        <f>+918335943431</f>
        <v>918335943431</v>
      </c>
      <c r="F49" s="11" t="s">
        <v>11</v>
      </c>
      <c r="G49" s="6">
        <v>46180.0</v>
      </c>
      <c r="H49" s="6">
        <v>46183.0</v>
      </c>
    </row>
    <row r="50">
      <c r="A50" s="16">
        <v>46210.0</v>
      </c>
      <c r="B50" s="12" t="s">
        <v>182</v>
      </c>
      <c r="C50" s="13" t="s">
        <v>183</v>
      </c>
      <c r="D50" s="9" t="s">
        <v>184</v>
      </c>
      <c r="E50" s="14">
        <f>+919354071429</f>
        <v>919354071429</v>
      </c>
      <c r="F50" s="15" t="s">
        <v>11</v>
      </c>
      <c r="G50" s="16">
        <v>46180.0</v>
      </c>
      <c r="H50" s="16">
        <v>46183.0</v>
      </c>
    </row>
    <row r="51">
      <c r="A51" s="6">
        <v>46210.0</v>
      </c>
      <c r="B51" s="7" t="s">
        <v>185</v>
      </c>
      <c r="C51" s="8" t="s">
        <v>186</v>
      </c>
      <c r="D51" s="17" t="s">
        <v>187</v>
      </c>
      <c r="E51" s="10">
        <f>+918428380190</f>
        <v>918428380190</v>
      </c>
      <c r="F51" s="11" t="s">
        <v>11</v>
      </c>
      <c r="G51" s="6">
        <v>46180.0</v>
      </c>
      <c r="H51" s="6">
        <v>46183.0</v>
      </c>
    </row>
    <row r="52">
      <c r="A52" s="18" t="s">
        <v>188</v>
      </c>
      <c r="B52" s="18" t="s">
        <v>189</v>
      </c>
      <c r="C52" s="19" t="s">
        <v>190</v>
      </c>
      <c r="D52" s="20" t="s">
        <v>191</v>
      </c>
      <c r="E52" s="21">
        <v>9.18143347474E11</v>
      </c>
      <c r="F52" s="11" t="s">
        <v>11</v>
      </c>
      <c r="G52" s="21" t="s">
        <v>188</v>
      </c>
      <c r="H52" s="22" t="s">
        <v>192</v>
      </c>
    </row>
    <row r="53">
      <c r="A53" s="23" t="s">
        <v>188</v>
      </c>
      <c r="B53" s="23" t="s">
        <v>193</v>
      </c>
      <c r="C53" s="19" t="s">
        <v>194</v>
      </c>
      <c r="D53" s="20" t="s">
        <v>195</v>
      </c>
      <c r="E53" s="21">
        <v>9.19835989018E11</v>
      </c>
      <c r="F53" s="11" t="s">
        <v>11</v>
      </c>
      <c r="G53" s="21" t="s">
        <v>188</v>
      </c>
      <c r="H53" s="22" t="s">
        <v>192</v>
      </c>
    </row>
    <row r="54">
      <c r="A54" s="24" t="s">
        <v>196</v>
      </c>
      <c r="B54" s="24" t="s">
        <v>197</v>
      </c>
      <c r="C54" s="25" t="s">
        <v>198</v>
      </c>
      <c r="D54" s="20" t="s">
        <v>199</v>
      </c>
      <c r="E54" s="26">
        <v>9.17588720316E11</v>
      </c>
      <c r="F54" s="11" t="s">
        <v>47</v>
      </c>
      <c r="G54" s="21" t="s">
        <v>196</v>
      </c>
      <c r="H54" s="22" t="s">
        <v>200</v>
      </c>
    </row>
    <row r="55">
      <c r="A55" s="27" t="s">
        <v>196</v>
      </c>
      <c r="B55" s="23" t="s">
        <v>201</v>
      </c>
      <c r="C55" s="19" t="s">
        <v>202</v>
      </c>
      <c r="D55" s="20" t="s">
        <v>203</v>
      </c>
      <c r="E55" s="21">
        <v>9.16362834568E11</v>
      </c>
      <c r="F55" s="11" t="s">
        <v>11</v>
      </c>
      <c r="G55" s="21" t="s">
        <v>196</v>
      </c>
      <c r="H55" s="22" t="s">
        <v>200</v>
      </c>
    </row>
    <row r="56">
      <c r="A56" s="27" t="s">
        <v>196</v>
      </c>
      <c r="B56" s="24" t="s">
        <v>204</v>
      </c>
      <c r="C56" s="28" t="s">
        <v>205</v>
      </c>
      <c r="D56" s="20" t="s">
        <v>206</v>
      </c>
      <c r="E56" s="21">
        <v>9.19722759138E11</v>
      </c>
      <c r="F56" s="29" t="s">
        <v>47</v>
      </c>
      <c r="G56" s="21" t="s">
        <v>196</v>
      </c>
      <c r="H56" s="22" t="s">
        <v>200</v>
      </c>
    </row>
    <row r="57">
      <c r="A57" s="30">
        <v>46211.0</v>
      </c>
      <c r="B57" s="31" t="s">
        <v>207</v>
      </c>
      <c r="C57" s="32" t="s">
        <v>208</v>
      </c>
      <c r="D57" s="20" t="s">
        <v>209</v>
      </c>
      <c r="E57" s="21">
        <v>9.19874558657E11</v>
      </c>
      <c r="F57" s="33" t="s">
        <v>155</v>
      </c>
      <c r="G57" s="34">
        <v>46150.0</v>
      </c>
      <c r="H57" s="35">
        <v>46153.0</v>
      </c>
    </row>
    <row r="58">
      <c r="A58" s="30">
        <v>46211.0</v>
      </c>
      <c r="B58" s="31" t="s">
        <v>210</v>
      </c>
      <c r="C58" s="32" t="s">
        <v>211</v>
      </c>
      <c r="D58" s="20" t="s">
        <v>212</v>
      </c>
      <c r="E58" s="21">
        <v>9.19115294899E11</v>
      </c>
      <c r="F58" s="36" t="s">
        <v>47</v>
      </c>
      <c r="G58" s="34">
        <v>46150.0</v>
      </c>
      <c r="H58" s="35">
        <v>46153.0</v>
      </c>
    </row>
    <row r="59">
      <c r="A59" s="1"/>
      <c r="B59" s="2"/>
      <c r="C59" s="37" t="s">
        <v>213</v>
      </c>
      <c r="D59" s="3"/>
      <c r="E59" s="3"/>
      <c r="F59" s="3"/>
      <c r="G59" s="3"/>
      <c r="H59" s="4"/>
    </row>
    <row r="60">
      <c r="A60" s="1"/>
      <c r="B60" s="2"/>
      <c r="C60" s="3"/>
      <c r="D60" s="3"/>
      <c r="E60" s="3"/>
      <c r="F60" s="3"/>
      <c r="G60" s="3"/>
      <c r="H60" s="4"/>
    </row>
    <row r="61">
      <c r="A61" s="1"/>
      <c r="B61" s="2"/>
      <c r="C61" s="3"/>
      <c r="D61" s="3"/>
      <c r="E61" s="3"/>
      <c r="F61" s="3"/>
      <c r="G61" s="3"/>
      <c r="H61" s="4"/>
    </row>
    <row r="62">
      <c r="A62" s="1"/>
      <c r="B62" s="2"/>
      <c r="C62" s="3"/>
      <c r="D62" s="3"/>
      <c r="E62" s="3"/>
      <c r="F62" s="3"/>
      <c r="G62" s="3"/>
      <c r="H62" s="4"/>
    </row>
    <row r="63">
      <c r="A63" s="1"/>
      <c r="B63" s="2"/>
      <c r="C63" s="3"/>
      <c r="D63" s="3"/>
      <c r="E63" s="3"/>
      <c r="F63" s="3"/>
      <c r="G63" s="3"/>
      <c r="H63" s="4"/>
    </row>
    <row r="64">
      <c r="A64" s="1"/>
      <c r="B64" s="2"/>
      <c r="C64" s="3"/>
      <c r="D64" s="3"/>
      <c r="E64" s="3"/>
      <c r="F64" s="3"/>
      <c r="G64" s="3"/>
      <c r="H64" s="4"/>
    </row>
    <row r="65">
      <c r="A65" s="1"/>
      <c r="B65" s="2"/>
      <c r="C65" s="3"/>
      <c r="D65" s="3"/>
      <c r="E65" s="3"/>
      <c r="F65" s="3"/>
      <c r="G65" s="3"/>
      <c r="H65" s="4"/>
    </row>
    <row r="66">
      <c r="A66" s="1"/>
      <c r="B66" s="2"/>
      <c r="C66" s="3"/>
      <c r="D66" s="3"/>
      <c r="E66" s="3"/>
      <c r="F66" s="3"/>
      <c r="G66" s="3"/>
      <c r="H66" s="4"/>
    </row>
    <row r="67">
      <c r="A67" s="1"/>
      <c r="B67" s="2"/>
      <c r="C67" s="3"/>
      <c r="D67" s="3"/>
      <c r="E67" s="3"/>
      <c r="F67" s="3"/>
      <c r="G67" s="3"/>
      <c r="H67" s="4"/>
    </row>
    <row r="68">
      <c r="A68" s="1"/>
      <c r="B68" s="2"/>
      <c r="C68" s="3"/>
      <c r="D68" s="3"/>
      <c r="E68" s="3"/>
      <c r="F68" s="3"/>
      <c r="G68" s="3"/>
      <c r="H68" s="4"/>
    </row>
    <row r="69">
      <c r="A69" s="1"/>
      <c r="B69" s="2"/>
      <c r="C69" s="3"/>
      <c r="D69" s="3"/>
      <c r="E69" s="3"/>
      <c r="F69" s="3"/>
      <c r="G69" s="3"/>
      <c r="H69" s="4"/>
    </row>
    <row r="70">
      <c r="A70" s="1"/>
      <c r="B70" s="2"/>
      <c r="C70" s="3"/>
      <c r="D70" s="3"/>
      <c r="E70" s="3"/>
      <c r="F70" s="3"/>
      <c r="G70" s="3"/>
      <c r="H70" s="4"/>
    </row>
    <row r="71">
      <c r="A71" s="1"/>
      <c r="B71" s="2"/>
      <c r="C71" s="3"/>
      <c r="D71" s="3"/>
      <c r="E71" s="3"/>
      <c r="F71" s="3"/>
      <c r="G71" s="3"/>
      <c r="H71" s="4"/>
    </row>
    <row r="72">
      <c r="A72" s="1"/>
      <c r="B72" s="2"/>
      <c r="C72" s="3"/>
      <c r="D72" s="3"/>
      <c r="E72" s="3"/>
      <c r="F72" s="3"/>
      <c r="G72" s="3"/>
      <c r="H72" s="4"/>
    </row>
    <row r="73">
      <c r="A73" s="1"/>
      <c r="B73" s="2"/>
      <c r="C73" s="3"/>
      <c r="D73" s="3"/>
      <c r="E73" s="3"/>
      <c r="F73" s="3"/>
      <c r="G73" s="3"/>
      <c r="H73" s="4"/>
    </row>
    <row r="74">
      <c r="A74" s="1"/>
      <c r="B74" s="2"/>
      <c r="C74" s="3"/>
      <c r="D74" s="3"/>
      <c r="E74" s="3"/>
      <c r="F74" s="3"/>
      <c r="G74" s="3"/>
      <c r="H74" s="4"/>
    </row>
    <row r="75">
      <c r="A75" s="1"/>
      <c r="B75" s="2"/>
      <c r="C75" s="3"/>
      <c r="D75" s="3"/>
      <c r="E75" s="3"/>
      <c r="F75" s="3"/>
      <c r="G75" s="3"/>
      <c r="H75" s="4"/>
    </row>
    <row r="76">
      <c r="A76" s="1"/>
      <c r="B76" s="2"/>
      <c r="C76" s="3"/>
      <c r="D76" s="3"/>
      <c r="E76" s="3"/>
      <c r="F76" s="3"/>
      <c r="G76" s="3"/>
      <c r="H76" s="4"/>
    </row>
    <row r="77">
      <c r="A77" s="1"/>
      <c r="B77" s="2"/>
      <c r="C77" s="3"/>
      <c r="D77" s="3"/>
      <c r="E77" s="3"/>
      <c r="F77" s="3"/>
      <c r="G77" s="3"/>
      <c r="H77" s="4"/>
    </row>
    <row r="78">
      <c r="A78" s="1"/>
      <c r="B78" s="2"/>
      <c r="C78" s="3"/>
      <c r="D78" s="3"/>
      <c r="E78" s="3"/>
      <c r="F78" s="3"/>
      <c r="G78" s="3"/>
      <c r="H78" s="4"/>
    </row>
    <row r="79">
      <c r="A79" s="1"/>
      <c r="B79" s="2"/>
      <c r="C79" s="3"/>
      <c r="D79" s="3"/>
      <c r="E79" s="3"/>
      <c r="F79" s="3"/>
      <c r="G79" s="3"/>
      <c r="H79" s="4"/>
    </row>
    <row r="80">
      <c r="A80" s="1"/>
      <c r="B80" s="2"/>
      <c r="C80" s="3"/>
      <c r="D80" s="3"/>
      <c r="E80" s="3"/>
      <c r="F80" s="3"/>
      <c r="G80" s="3"/>
      <c r="H80" s="4"/>
    </row>
    <row r="81">
      <c r="A81" s="1"/>
      <c r="B81" s="2"/>
      <c r="C81" s="3"/>
      <c r="D81" s="3"/>
      <c r="E81" s="3"/>
      <c r="F81" s="3"/>
      <c r="G81" s="3"/>
      <c r="H81" s="4"/>
    </row>
    <row r="82">
      <c r="A82" s="1"/>
      <c r="B82" s="2"/>
      <c r="C82" s="3"/>
      <c r="D82" s="3"/>
      <c r="E82" s="3"/>
      <c r="F82" s="3"/>
      <c r="G82" s="3"/>
      <c r="H82" s="4"/>
    </row>
    <row r="83">
      <c r="A83" s="1"/>
      <c r="B83" s="2"/>
      <c r="C83" s="3"/>
      <c r="D83" s="3"/>
      <c r="E83" s="3"/>
      <c r="F83" s="3"/>
      <c r="G83" s="3"/>
      <c r="H83" s="4"/>
    </row>
    <row r="84">
      <c r="A84" s="1"/>
      <c r="B84" s="2"/>
      <c r="C84" s="3"/>
      <c r="D84" s="3"/>
      <c r="E84" s="3"/>
      <c r="F84" s="3"/>
      <c r="G84" s="3"/>
      <c r="H84" s="4"/>
    </row>
    <row r="85">
      <c r="A85" s="1"/>
      <c r="B85" s="2"/>
      <c r="C85" s="3"/>
      <c r="D85" s="3"/>
      <c r="E85" s="3"/>
      <c r="F85" s="3"/>
      <c r="G85" s="3"/>
      <c r="H85" s="4"/>
    </row>
    <row r="86">
      <c r="A86" s="1"/>
      <c r="B86" s="2"/>
      <c r="C86" s="3"/>
      <c r="D86" s="3"/>
      <c r="E86" s="3"/>
      <c r="F86" s="3"/>
      <c r="G86" s="3"/>
      <c r="H86" s="4"/>
    </row>
    <row r="87">
      <c r="A87" s="1"/>
      <c r="B87" s="2"/>
      <c r="C87" s="3"/>
      <c r="D87" s="3"/>
      <c r="E87" s="3"/>
      <c r="F87" s="3"/>
      <c r="G87" s="3"/>
      <c r="H87" s="4"/>
    </row>
    <row r="88">
      <c r="A88" s="1"/>
      <c r="B88" s="38"/>
      <c r="C88" s="39"/>
      <c r="D88" s="39"/>
      <c r="E88" s="39"/>
      <c r="F88" s="39"/>
      <c r="G88" s="39"/>
      <c r="H88" s="40"/>
    </row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</hyperlinks>
  <drawing r:id="rId57"/>
  <tableParts count="1">
    <tablePart r:id="rId59"/>
  </tableParts>
</worksheet>
</file>